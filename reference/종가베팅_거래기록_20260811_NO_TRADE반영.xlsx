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ns1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기존기준" sheetId="1" state="visible" ns1:id="rId1"/>
    <sheet name="B_새기준" sheetId="2" state="visible" ns1:id="rId2"/>
    <sheet name="A_일별요약" sheetId="3" state="visible" ns1:id="rId3"/>
    <sheet name="B_일별요약" sheetId="4" state="visible" ns1:id="rId4"/>
    <sheet name="A_B_비교" sheetId="5" state="visible" ns1:id="rId5"/>
    <sheet name="사용규칙" sheetId="6" state="visible" ns1:id="rId6"/>
  </sheets>
  <definedNames>
    <definedName name="_xlnm._FilterDatabase" localSheetId="0" hidden="1">'A_기존기준'!$A$1:$N$9</definedName>
    <definedName name="_xlnm._FilterDatabase" localSheetId="1" hidden="1">'B_새기준'!$A$1:$N$6</definedName>
    <definedName name="_xlnm._FilterDatabase" localSheetId="2" hidden="1">'A_일별요약'!$A$1:$I$5</definedName>
    <definedName name="_xlnm._FilterDatabase" localSheetId="3" hidden="1">'B_일별요약'!$A$1:$I$4</definedName>
    <definedName name="_xlnm._FilterDatabase" localSheetId="4" hidden="1">'A_B_비교'!$A$1:$T$4</definedName>
    <definedName name="_xlnm._FilterDatabase" localSheetId="5" hidden="1">'사용규칙'!$A$1:$B$8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#,##0;[Red](#,##0);-"/>
    <numFmt numFmtId="165" formatCode="0.00%;[Red](0.00%);-"/>
  </numFmts>
  <fonts count="4">
    <font>
      <name val="Calibri"/>
      <family val="2"/>
      <color theme="1"/>
      <sz val="11"/>
      <scheme val="minor"/>
    </font>
    <font>
      <b val="1"/>
      <color rgb="00FFFFFF"/>
    </font>
    <font>
      <color rgb="00008000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" fontId="2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165" fontId="3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4" fontId="0" fillId="3" borderId="0" applyAlignment="1" pivotButton="0" quotePrefix="0" xfId="0">
      <alignment vertical="center"/>
    </xf>
    <xf numFmtId="1" fontId="0" fillId="3" borderId="0" applyAlignment="1" pivotButton="0" quotePrefix="0" xfId="0">
      <alignment vertical="center"/>
    </xf>
    <xf numFmtId="164" fontId="2" fillId="3" borderId="0" applyAlignment="1" pivotButton="0" quotePrefix="0" xfId="0">
      <alignment vertical="center"/>
    </xf>
    <xf numFmtId="165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10" fontId="3" fillId="0" borderId="0" applyAlignment="1" pivotButton="0" quotePrefix="0" xfId="0">
      <alignment vertical="center"/>
    </xf>
    <xf numFmtId="10" fontId="0" fillId="3" borderId="0" applyAlignment="1" pivotButton="0" quotePrefix="0" xfId="0">
      <alignment vertical="center"/>
    </xf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8" customWidth="1" min="4" max="4"/>
    <col width="15" customWidth="1" min="5" max="5"/>
    <col width="15" customWidth="1" min="6" max="6"/>
    <col width="11" customWidth="1" min="7" max="7"/>
    <col width="13" customWidth="1" min="8" max="8"/>
    <col width="10" customWidth="1" min="9" max="9"/>
    <col width="13" customWidth="1" min="10" max="10"/>
    <col width="15" customWidth="1" min="11" max="11"/>
    <col width="13" customWidth="1" min="12" max="12"/>
    <col width="12" customWidth="1" min="13" max="13"/>
    <col width="34" customWidth="1" min="14" max="14"/>
  </cols>
  <sheetData>
    <row r="1">
      <c r="A1" s="1" t="inlineStr">
        <is>
          <t>매수일</t>
        </is>
      </c>
      <c r="B1" s="1" t="inlineStr">
        <is>
          <t>종목</t>
        </is>
      </c>
      <c r="C1" s="1" t="inlineStr">
        <is>
          <t>매수가(원)</t>
        </is>
      </c>
      <c r="D1" s="1" t="inlineStr">
        <is>
          <t>수량</t>
        </is>
      </c>
      <c r="E1" s="1" t="inlineStr">
        <is>
          <t>매수금액(원)</t>
        </is>
      </c>
      <c r="F1" s="1" t="inlineStr">
        <is>
          <t>시작자금(원)</t>
        </is>
      </c>
      <c r="G1" s="1" t="inlineStr">
        <is>
          <t>실제비중</t>
        </is>
      </c>
      <c r="H1" s="1" t="inlineStr">
        <is>
          <t>매도일</t>
        </is>
      </c>
      <c r="I1" s="1" t="inlineStr">
        <is>
          <t>매도시간</t>
        </is>
      </c>
      <c r="J1" s="1" t="inlineStr">
        <is>
          <t>매도가(원)</t>
        </is>
      </c>
      <c r="K1" s="1" t="inlineStr">
        <is>
          <t>매도금액(원)</t>
        </is>
      </c>
      <c r="L1" s="1" t="inlineStr">
        <is>
          <t>손익(원)</t>
        </is>
      </c>
      <c r="M1" s="1" t="inlineStr">
        <is>
          <t>종목수익률</t>
        </is>
      </c>
      <c r="N1" s="1" t="inlineStr">
        <is>
          <t>비고</t>
        </is>
      </c>
    </row>
    <row r="2">
      <c r="A2" s="2" t="inlineStr">
        <is>
          <t>2026-08-06</t>
        </is>
      </c>
      <c r="B2" s="2" t="inlineStr">
        <is>
          <t>한화생명</t>
        </is>
      </c>
      <c r="C2" s="3" t="n">
        <v>4580</v>
      </c>
      <c r="D2" s="4" t="n">
        <v>39</v>
      </c>
      <c r="E2" s="5">
        <f>C2*D2</f>
        <v/>
      </c>
      <c r="F2" s="3" t="n">
        <v>600000</v>
      </c>
      <c r="G2" s="17">
        <f>E2/F2</f>
        <v/>
      </c>
      <c r="H2" s="2" t="inlineStr">
        <is>
          <t>2026-08-07</t>
        </is>
      </c>
      <c r="I2" s="2" t="inlineStr">
        <is>
          <t>09:28</t>
        </is>
      </c>
      <c r="J2" s="3" t="n">
        <v>4500</v>
      </c>
      <c r="K2" s="5">
        <f>J2*D2</f>
        <v/>
      </c>
      <c r="L2" s="5">
        <f>K2-E2</f>
        <v/>
      </c>
      <c r="M2" s="17">
        <f>L2/E2</f>
        <v/>
      </c>
      <c r="N2" s="2" t="inlineStr">
        <is>
          <t>1회차</t>
        </is>
      </c>
    </row>
    <row r="3">
      <c r="A3" s="2" t="inlineStr">
        <is>
          <t>2026-08-06</t>
        </is>
      </c>
      <c r="B3" s="2" t="inlineStr">
        <is>
          <t>현대약품</t>
        </is>
      </c>
      <c r="C3" s="3" t="n">
        <v>6590</v>
      </c>
      <c r="D3" s="4" t="n">
        <v>18</v>
      </c>
      <c r="E3" s="5">
        <f>C3*D3</f>
        <v/>
      </c>
      <c r="F3" s="3" t="n">
        <v>600000</v>
      </c>
      <c r="G3" s="17">
        <f>E3/F3</f>
        <v/>
      </c>
      <c r="H3" s="2" t="inlineStr">
        <is>
          <t>2026-08-07</t>
        </is>
      </c>
      <c r="I3" s="2" t="inlineStr">
        <is>
          <t>09:28</t>
        </is>
      </c>
      <c r="J3" s="3" t="n">
        <v>6250</v>
      </c>
      <c r="K3" s="5">
        <f>J3*D3</f>
        <v/>
      </c>
      <c r="L3" s="5">
        <f>K3-E3</f>
        <v/>
      </c>
      <c r="M3" s="17">
        <f>L3/E3</f>
        <v/>
      </c>
      <c r="N3" s="2" t="inlineStr">
        <is>
          <t>1회차</t>
        </is>
      </c>
    </row>
    <row r="4">
      <c r="A4" s="2" t="inlineStr">
        <is>
          <t>2026-08-06</t>
        </is>
      </c>
      <c r="B4" s="2" t="inlineStr">
        <is>
          <t>안국약품</t>
        </is>
      </c>
      <c r="C4" s="3" t="n">
        <v>12560</v>
      </c>
      <c r="D4" s="4" t="n">
        <v>5</v>
      </c>
      <c r="E4" s="5">
        <f>C4*D4</f>
        <v/>
      </c>
      <c r="F4" s="3" t="n">
        <v>600000</v>
      </c>
      <c r="G4" s="17">
        <f>E4/F4</f>
        <v/>
      </c>
      <c r="H4" s="2" t="inlineStr">
        <is>
          <t>2026-08-07</t>
        </is>
      </c>
      <c r="I4" s="2" t="inlineStr">
        <is>
          <t>09:28</t>
        </is>
      </c>
      <c r="J4" s="3" t="n">
        <v>12520</v>
      </c>
      <c r="K4" s="5">
        <f>J4*D4</f>
        <v/>
      </c>
      <c r="L4" s="5">
        <f>K4-E4</f>
        <v/>
      </c>
      <c r="M4" s="17">
        <f>L4/E4</f>
        <v/>
      </c>
      <c r="N4" s="2" t="inlineStr">
        <is>
          <t>1회차</t>
        </is>
      </c>
    </row>
    <row r="5">
      <c r="A5" s="2" t="inlineStr">
        <is>
          <t>2026-08-07</t>
        </is>
      </c>
      <c r="B5" s="2" t="inlineStr">
        <is>
          <t>팬오션</t>
        </is>
      </c>
      <c r="C5" s="3" t="n">
        <v>6020</v>
      </c>
      <c r="D5" s="4" t="n">
        <v>29</v>
      </c>
      <c r="E5" s="5">
        <f>C5*D5</f>
        <v/>
      </c>
      <c r="F5" s="3" t="n">
        <v>590560</v>
      </c>
      <c r="G5" s="17">
        <f>E5/F5</f>
        <v/>
      </c>
      <c r="H5" s="2" t="inlineStr">
        <is>
          <t>2026-08-10</t>
        </is>
      </c>
      <c r="I5" s="2" t="inlineStr">
        <is>
          <t>09:30</t>
        </is>
      </c>
      <c r="J5" s="3" t="n">
        <v>5760</v>
      </c>
      <c r="K5" s="5">
        <f>J5*D5</f>
        <v/>
      </c>
      <c r="L5" s="5">
        <f>K5-E5</f>
        <v/>
      </c>
      <c r="M5" s="17">
        <f>L5/E5</f>
        <v/>
      </c>
      <c r="N5" s="2" t="inlineStr">
        <is>
          <t>2회차 A</t>
        </is>
      </c>
    </row>
    <row r="6">
      <c r="A6" s="2" t="inlineStr">
        <is>
          <t>2026-08-07</t>
        </is>
      </c>
      <c r="B6" s="2" t="inlineStr">
        <is>
          <t>KT나스미디어</t>
        </is>
      </c>
      <c r="C6" s="3" t="n">
        <v>11530</v>
      </c>
      <c r="D6" s="4" t="n">
        <v>10</v>
      </c>
      <c r="E6" s="5">
        <f>C6*D6</f>
        <v/>
      </c>
      <c r="F6" s="3" t="n">
        <v>590560</v>
      </c>
      <c r="G6" s="17">
        <f>E6/F6</f>
        <v/>
      </c>
      <c r="H6" s="2" t="inlineStr">
        <is>
          <t>2026-08-10</t>
        </is>
      </c>
      <c r="I6" s="2" t="inlineStr">
        <is>
          <t>09:30</t>
        </is>
      </c>
      <c r="J6" s="3" t="n">
        <v>11340</v>
      </c>
      <c r="K6" s="5">
        <f>J6*D6</f>
        <v/>
      </c>
      <c r="L6" s="5">
        <f>K6-E6</f>
        <v/>
      </c>
      <c r="M6" s="17">
        <f>L6/E6</f>
        <v/>
      </c>
      <c r="N6" s="2" t="inlineStr">
        <is>
          <t>2회차 A</t>
        </is>
      </c>
    </row>
    <row r="7">
      <c r="A7" s="2" t="inlineStr">
        <is>
          <t>2026-08-07</t>
        </is>
      </c>
      <c r="B7" s="2" t="inlineStr">
        <is>
          <t>비상교육</t>
        </is>
      </c>
      <c r="C7" s="3" t="n">
        <v>5180</v>
      </c>
      <c r="D7" s="4" t="n">
        <v>17</v>
      </c>
      <c r="E7" s="5">
        <f>C7*D7</f>
        <v/>
      </c>
      <c r="F7" s="3" t="n">
        <v>590560</v>
      </c>
      <c r="G7" s="17">
        <f>E7/F7</f>
        <v/>
      </c>
      <c r="H7" s="2" t="inlineStr">
        <is>
          <t>2026-08-10</t>
        </is>
      </c>
      <c r="I7" s="2" t="inlineStr">
        <is>
          <t>09:30</t>
        </is>
      </c>
      <c r="J7" s="3" t="n">
        <v>5020</v>
      </c>
      <c r="K7" s="5">
        <f>J7*D7</f>
        <v/>
      </c>
      <c r="L7" s="5">
        <f>K7-E7</f>
        <v/>
      </c>
      <c r="M7" s="17">
        <f>L7/E7</f>
        <v/>
      </c>
      <c r="N7" s="2" t="inlineStr">
        <is>
          <t>2회차 A</t>
        </is>
      </c>
    </row>
    <row r="8">
      <c r="A8" s="2" t="inlineStr">
        <is>
          <t>2026-08-10</t>
        </is>
      </c>
      <c r="B8" s="2" t="inlineStr">
        <is>
          <t>씨이랩</t>
        </is>
      </c>
      <c r="C8" s="12" t="n">
        <v>13810</v>
      </c>
      <c r="D8" s="13" t="n">
        <v>8</v>
      </c>
      <c r="E8" s="12">
        <f>C8*D8</f>
        <v/>
      </c>
      <c r="F8" s="14" t="n">
        <v>578400</v>
      </c>
      <c r="G8" s="18">
        <f>E8/F8</f>
        <v/>
      </c>
      <c r="H8" s="16" t="inlineStr">
        <is>
          <t>2026-08-11</t>
        </is>
      </c>
      <c r="I8" s="16" t="inlineStr">
        <is>
          <t>09:30</t>
        </is>
      </c>
      <c r="J8" s="12" t="n">
        <v>16050</v>
      </c>
      <c r="K8" s="12">
        <f>J8*D8</f>
        <v>128400</v>
      </c>
      <c r="L8" s="12">
        <f>K8-E8</f>
        <v>17920</v>
      </c>
      <c r="M8" s="18">
        <f>L8/E8</f>
        <v>0.16220130340333092</v>
      </c>
      <c r="N8" s="2" t="inlineStr">
        <is>
          <t>3회차 A / 15:30 종가 반영 / 과열 감점으로 목표비중 20%</t>
        </is>
      </c>
    </row>
    <row r="9">
      <c r="A9" s="2" t="inlineStr">
        <is>
          <t>2026-08-11</t>
        </is>
      </c>
      <c r="B9" s="2" t="inlineStr">
        <is>
          <t>NO_TRADE</t>
        </is>
      </c>
      <c r="C9" s="12" t="n">
        <v>0</v>
      </c>
      <c r="D9" s="13" t="n">
        <v>0</v>
      </c>
      <c r="E9" s="12">
        <f>C9*D9</f>
        <v>0</v>
      </c>
      <c r="F9" s="14" t="n">
        <v>596320</v>
      </c>
      <c r="G9" s="18" t="n">
        <v>0</v>
      </c>
      <c r="H9" s="2" t="inlineStr">
        <is>
          <t>2026-08-11</t>
        </is>
      </c>
      <c r="I9" s="2" t="inlineStr">
        <is>
          <t>15:30</t>
        </is>
      </c>
      <c r="J9" s="12" t="n">
        <v>0</v>
      </c>
      <c r="K9" s="12" t="n">
        <v>0</v>
      </c>
      <c r="L9" s="12" t="n">
        <v>0</v>
      </c>
      <c r="M9" s="18" t="n">
        <v>0</v>
      </c>
      <c r="N9" s="2" t="inlineStr">
        <is>
          <t>4회차 A / NO_TRADE / 분석 완료 15:46로 종가 주문 불가 / 조건 미달</t>
        </is>
      </c>
    </row>
  </sheetData>
  <autoFilter ref="A1:N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8" customWidth="1" min="4" max="4"/>
    <col width="15" customWidth="1" min="5" max="5"/>
    <col width="15" customWidth="1" min="6" max="6"/>
    <col width="11" customWidth="1" min="7" max="7"/>
    <col width="13" customWidth="1" min="8" max="8"/>
    <col width="10" customWidth="1" min="9" max="9"/>
    <col width="13" customWidth="1" min="10" max="10"/>
    <col width="15" customWidth="1" min="11" max="11"/>
    <col width="13" customWidth="1" min="12" max="12"/>
    <col width="12" customWidth="1" min="13" max="13"/>
    <col width="34" customWidth="1" min="14" max="14"/>
  </cols>
  <sheetData>
    <row r="1">
      <c r="A1" s="1" t="inlineStr">
        <is>
          <t>매수일</t>
        </is>
      </c>
      <c r="B1" s="1" t="inlineStr">
        <is>
          <t>종목</t>
        </is>
      </c>
      <c r="C1" s="1" t="inlineStr">
        <is>
          <t>매수가(원)</t>
        </is>
      </c>
      <c r="D1" s="1" t="inlineStr">
        <is>
          <t>수량</t>
        </is>
      </c>
      <c r="E1" s="1" t="inlineStr">
        <is>
          <t>매수금액(원)</t>
        </is>
      </c>
      <c r="F1" s="1" t="inlineStr">
        <is>
          <t>시작자금(원)</t>
        </is>
      </c>
      <c r="G1" s="1" t="inlineStr">
        <is>
          <t>실제비중</t>
        </is>
      </c>
      <c r="H1" s="1" t="inlineStr">
        <is>
          <t>매도일</t>
        </is>
      </c>
      <c r="I1" s="1" t="inlineStr">
        <is>
          <t>매도시간</t>
        </is>
      </c>
      <c r="J1" s="1" t="inlineStr">
        <is>
          <t>매도가(원)</t>
        </is>
      </c>
      <c r="K1" s="1" t="inlineStr">
        <is>
          <t>매도금액(원)</t>
        </is>
      </c>
      <c r="L1" s="1" t="inlineStr">
        <is>
          <t>손익(원)</t>
        </is>
      </c>
      <c r="M1" s="1" t="inlineStr">
        <is>
          <t>종목수익률</t>
        </is>
      </c>
      <c r="N1" s="1" t="inlineStr">
        <is>
          <t>비고</t>
        </is>
      </c>
    </row>
    <row r="2">
      <c r="A2" s="2" t="inlineStr">
        <is>
          <t>2026-08-07</t>
        </is>
      </c>
      <c r="B2" s="2" t="inlineStr">
        <is>
          <t>대한항공</t>
        </is>
      </c>
      <c r="C2" s="3" t="n">
        <v>27050</v>
      </c>
      <c r="D2" s="4" t="n">
        <v>6</v>
      </c>
      <c r="E2" s="5">
        <f>C2*D2</f>
        <v/>
      </c>
      <c r="F2" s="3" t="n">
        <v>590560</v>
      </c>
      <c r="G2" s="17">
        <f>E2/F2</f>
        <v/>
      </c>
      <c r="H2" s="2" t="inlineStr">
        <is>
          <t>2026-08-10</t>
        </is>
      </c>
      <c r="I2" s="2" t="inlineStr">
        <is>
          <t>09:30</t>
        </is>
      </c>
      <c r="J2" s="3" t="n">
        <v>26550</v>
      </c>
      <c r="K2" s="5">
        <f>J2*D2</f>
        <v/>
      </c>
      <c r="L2" s="5">
        <f>K2-E2</f>
        <v/>
      </c>
      <c r="M2" s="17">
        <f>L2/E2</f>
        <v/>
      </c>
      <c r="N2" s="2" t="inlineStr">
        <is>
          <t>2회차 B</t>
        </is>
      </c>
    </row>
    <row r="3">
      <c r="A3" s="2" t="inlineStr">
        <is>
          <t>2026-08-07</t>
        </is>
      </c>
      <c r="B3" s="2" t="inlineStr">
        <is>
          <t>KT나스미디어</t>
        </is>
      </c>
      <c r="C3" s="3" t="n">
        <v>11530</v>
      </c>
      <c r="D3" s="4" t="n">
        <v>10</v>
      </c>
      <c r="E3" s="5">
        <f>C3*D3</f>
        <v/>
      </c>
      <c r="F3" s="3" t="n">
        <v>590560</v>
      </c>
      <c r="G3" s="17">
        <f>E3/F3</f>
        <v/>
      </c>
      <c r="H3" s="2" t="inlineStr">
        <is>
          <t>2026-08-10</t>
        </is>
      </c>
      <c r="I3" s="2" t="inlineStr">
        <is>
          <t>09:30</t>
        </is>
      </c>
      <c r="J3" s="3" t="n">
        <v>11340</v>
      </c>
      <c r="K3" s="5">
        <f>J3*D3</f>
        <v/>
      </c>
      <c r="L3" s="5">
        <f>K3-E3</f>
        <v/>
      </c>
      <c r="M3" s="17">
        <f>L3/E3</f>
        <v/>
      </c>
      <c r="N3" s="2" t="inlineStr">
        <is>
          <t>2회차 B</t>
        </is>
      </c>
    </row>
    <row r="4">
      <c r="A4" s="2" t="inlineStr">
        <is>
          <t>2026-08-07</t>
        </is>
      </c>
      <c r="B4" s="2" t="inlineStr">
        <is>
          <t>KG케미칼</t>
        </is>
      </c>
      <c r="C4" s="3" t="n">
        <v>4785</v>
      </c>
      <c r="D4" s="4" t="n">
        <v>12</v>
      </c>
      <c r="E4" s="5">
        <f>C4*D4</f>
        <v/>
      </c>
      <c r="F4" s="3" t="n">
        <v>590560</v>
      </c>
      <c r="G4" s="17">
        <f>E4/F4</f>
        <v/>
      </c>
      <c r="H4" s="2" t="inlineStr">
        <is>
          <t>2026-08-10</t>
        </is>
      </c>
      <c r="I4" s="2" t="inlineStr">
        <is>
          <t>09:30</t>
        </is>
      </c>
      <c r="J4" s="3" t="n">
        <v>4465</v>
      </c>
      <c r="K4" s="5">
        <f>J4*D4</f>
        <v/>
      </c>
      <c r="L4" s="5">
        <f>K4-E4</f>
        <v/>
      </c>
      <c r="M4" s="17">
        <f>L4/E4</f>
        <v/>
      </c>
      <c r="N4" s="2" t="inlineStr">
        <is>
          <t>2회차 B</t>
        </is>
      </c>
    </row>
    <row r="5">
      <c r="A5" s="2" t="inlineStr">
        <is>
          <t>2026-08-10</t>
        </is>
      </c>
      <c r="B5" s="2" t="inlineStr">
        <is>
          <t>아이크래프트</t>
        </is>
      </c>
      <c r="C5" s="12" t="n">
        <v>7100</v>
      </c>
      <c r="D5" s="13" t="n">
        <v>16</v>
      </c>
      <c r="E5" s="12">
        <f>C5*D5</f>
        <v/>
      </c>
      <c r="F5" s="14" t="n">
        <v>581820</v>
      </c>
      <c r="G5" s="18">
        <f>E5/F5</f>
        <v/>
      </c>
      <c r="H5" s="16" t="inlineStr">
        <is>
          <t>2026-08-11</t>
        </is>
      </c>
      <c r="I5" s="16" t="inlineStr">
        <is>
          <t>09:30</t>
        </is>
      </c>
      <c r="J5" s="12" t="n">
        <v>6820</v>
      </c>
      <c r="K5" s="12">
        <f>J5*D5</f>
        <v>109120</v>
      </c>
      <c r="L5" s="12">
        <f>K5-E5</f>
        <v>-4480</v>
      </c>
      <c r="M5" s="18">
        <f>L5/E5</f>
        <v>-0.03943661971830986</v>
      </c>
      <c r="N5" s="2" t="inlineStr">
        <is>
          <t>3회차 B / 15:30 종가 반영 / 과열 감점으로 목표비중 20%</t>
        </is>
      </c>
    </row>
    <row r="6">
      <c r="A6" s="2" t="inlineStr">
        <is>
          <t>2026-08-11</t>
        </is>
      </c>
      <c r="B6" s="2" t="inlineStr">
        <is>
          <t>NO_TRADE</t>
        </is>
      </c>
      <c r="C6" s="12" t="n">
        <v>0</v>
      </c>
      <c r="D6" s="13" t="n">
        <v>0</v>
      </c>
      <c r="E6" s="12">
        <f>C6*D6</f>
        <v>0</v>
      </c>
      <c r="F6" s="14" t="n">
        <v>577340</v>
      </c>
      <c r="G6" s="18" t="n">
        <v>0</v>
      </c>
      <c r="H6" s="2" t="inlineStr">
        <is>
          <t>2026-08-11</t>
        </is>
      </c>
      <c r="I6" s="2" t="inlineStr">
        <is>
          <t>15:30</t>
        </is>
      </c>
      <c r="J6" s="12" t="n">
        <v>0</v>
      </c>
      <c r="K6" s="12" t="n">
        <v>0</v>
      </c>
      <c r="L6" s="12" t="n">
        <v>0</v>
      </c>
      <c r="M6" s="18" t="n">
        <v>0</v>
      </c>
      <c r="N6" s="2" t="inlineStr">
        <is>
          <t>4회차 B / NO_TRADE / 분석 완료 15:46로 종가 주문 불가 / 조건 미달</t>
        </is>
      </c>
    </row>
  </sheetData>
  <autoFilter ref="A1:N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15" customWidth="1" min="4" max="4"/>
    <col width="16" customWidth="1" min="5" max="5"/>
    <col width="17" customWidth="1" min="6" max="6"/>
    <col width="15" customWidth="1" min="7" max="7"/>
    <col width="12" customWidth="1" min="8" max="8"/>
    <col width="15" customWidth="1" min="9" max="9"/>
  </cols>
  <sheetData>
    <row r="1">
      <c r="A1" s="1" t="inlineStr">
        <is>
          <t>매수일</t>
        </is>
      </c>
      <c r="B1" s="1" t="inlineStr">
        <is>
          <t>시작자금(원)</t>
        </is>
      </c>
      <c r="C1" s="1" t="inlineStr">
        <is>
          <t>총매수금액(원)</t>
        </is>
      </c>
      <c r="D1" s="1" t="inlineStr">
        <is>
          <t>남은현금(원)</t>
        </is>
      </c>
      <c r="E1" s="1" t="inlineStr">
        <is>
          <t>총매도금액(원)</t>
        </is>
      </c>
      <c r="F1" s="1" t="inlineStr">
        <is>
          <t>매도후총자산(원)</t>
        </is>
      </c>
      <c r="G1" s="1" t="inlineStr">
        <is>
          <t>하루손익(원)</t>
        </is>
      </c>
      <c r="H1" s="1" t="inlineStr">
        <is>
          <t>하루수익률</t>
        </is>
      </c>
      <c r="I1" s="1" t="inlineStr">
        <is>
          <t>상태</t>
        </is>
      </c>
    </row>
    <row r="2">
      <c r="A2" s="2" t="inlineStr">
        <is>
          <t>2026-08-06</t>
        </is>
      </c>
      <c r="B2" s="3" t="n">
        <v>600000</v>
      </c>
      <c r="C2" s="5">
        <f>SUM('A_기존기준'!E2:E4)</f>
        <v/>
      </c>
      <c r="D2" s="5">
        <f>B2-C2</f>
        <v/>
      </c>
      <c r="E2" s="5">
        <f>SUM('A_기존기준'!K2:K4)</f>
        <v/>
      </c>
      <c r="F2" s="5">
        <f>D2+E2</f>
        <v/>
      </c>
      <c r="G2" s="5">
        <f>F2-B2</f>
        <v/>
      </c>
      <c r="H2" s="17">
        <f>G2/B2</f>
        <v/>
      </c>
      <c r="I2" s="2" t="inlineStr">
        <is>
          <t>완료</t>
        </is>
      </c>
    </row>
    <row r="3">
      <c r="A3" s="2" t="inlineStr">
        <is>
          <t>2026-08-07</t>
        </is>
      </c>
      <c r="B3" s="3" t="n">
        <v>590560</v>
      </c>
      <c r="C3" s="5">
        <f>SUM('A_기존기준'!E5:E7)</f>
        <v/>
      </c>
      <c r="D3" s="5">
        <f>B3-C3</f>
        <v/>
      </c>
      <c r="E3" s="5">
        <f>SUM('A_기존기준'!K5:K7)</f>
        <v/>
      </c>
      <c r="F3" s="5">
        <f>D3+E3</f>
        <v/>
      </c>
      <c r="G3" s="5">
        <f>F3-B3</f>
        <v/>
      </c>
      <c r="H3" s="17">
        <f>G3/B3</f>
        <v/>
      </c>
      <c r="I3" s="2" t="inlineStr">
        <is>
          <t>완료</t>
        </is>
      </c>
    </row>
    <row r="4">
      <c r="A4" s="2" t="inlineStr">
        <is>
          <t>2026-08-10</t>
        </is>
      </c>
      <c r="B4" s="3" t="n">
        <v>578400</v>
      </c>
      <c r="C4" s="12">
        <f>'A_기존기준'!E8</f>
        <v/>
      </c>
      <c r="D4" s="12">
        <f>B4-C4</f>
        <v/>
      </c>
      <c r="E4" s="12">
        <f>'A_기존기준'!K8</f>
        <v>128400</v>
      </c>
      <c r="F4" s="12">
        <f>D4+E4</f>
        <v>596320</v>
      </c>
      <c r="G4" s="12">
        <f>F4-B4</f>
        <v>17920</v>
      </c>
      <c r="H4" s="18">
        <f>G4/B4</f>
        <v>0.030982019363762103</v>
      </c>
      <c r="I4" s="2" t="inlineStr">
        <is>
          <t>완료</t>
        </is>
      </c>
    </row>
    <row r="5">
      <c r="A5" s="2" t="inlineStr">
        <is>
          <t>2026-08-11</t>
        </is>
      </c>
      <c r="B5" s="3" t="n">
        <v>596320</v>
      </c>
      <c r="C5" s="12" t="n">
        <v>0</v>
      </c>
      <c r="D5" s="12" t="n">
        <v>596320</v>
      </c>
      <c r="E5" s="12" t="n">
        <v>0</v>
      </c>
      <c r="F5" s="12" t="n">
        <v>596320</v>
      </c>
      <c r="G5" s="12" t="n">
        <v>0</v>
      </c>
      <c r="H5" s="18" t="n">
        <v>0</v>
      </c>
      <c r="I5" s="2" t="inlineStr">
        <is>
          <t>NO_TRADE / 매수금액 0원</t>
        </is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15" customWidth="1" min="4" max="4"/>
    <col width="16" customWidth="1" min="5" max="5"/>
    <col width="17" customWidth="1" min="6" max="6"/>
    <col width="15" customWidth="1" min="7" max="7"/>
    <col width="12" customWidth="1" min="8" max="8"/>
    <col width="15" customWidth="1" min="9" max="9"/>
  </cols>
  <sheetData>
    <row r="1">
      <c r="A1" s="1" t="inlineStr">
        <is>
          <t>매수일</t>
        </is>
      </c>
      <c r="B1" s="1" t="inlineStr">
        <is>
          <t>시작자금(원)</t>
        </is>
      </c>
      <c r="C1" s="1" t="inlineStr">
        <is>
          <t>총매수금액(원)</t>
        </is>
      </c>
      <c r="D1" s="1" t="inlineStr">
        <is>
          <t>남은현금(원)</t>
        </is>
      </c>
      <c r="E1" s="1" t="inlineStr">
        <is>
          <t>총매도금액(원)</t>
        </is>
      </c>
      <c r="F1" s="1" t="inlineStr">
        <is>
          <t>매도후총자산(원)</t>
        </is>
      </c>
      <c r="G1" s="1" t="inlineStr">
        <is>
          <t>하루손익(원)</t>
        </is>
      </c>
      <c r="H1" s="1" t="inlineStr">
        <is>
          <t>하루수익률</t>
        </is>
      </c>
      <c r="I1" s="1" t="inlineStr">
        <is>
          <t>상태</t>
        </is>
      </c>
    </row>
    <row r="2">
      <c r="A2" s="2" t="inlineStr">
        <is>
          <t>2026-08-07</t>
        </is>
      </c>
      <c r="B2" s="3" t="n">
        <v>590560</v>
      </c>
      <c r="C2" s="5">
        <f>SUM('B_새기준'!E2:E4)</f>
        <v/>
      </c>
      <c r="D2" s="5">
        <f>B2-C2</f>
        <v/>
      </c>
      <c r="E2" s="5">
        <f>SUM('B_새기준'!K2:K4)</f>
        <v/>
      </c>
      <c r="F2" s="5">
        <f>D2+E2</f>
        <v/>
      </c>
      <c r="G2" s="5">
        <f>F2-B2</f>
        <v/>
      </c>
      <c r="H2" s="17">
        <f>G2/B2</f>
        <v/>
      </c>
      <c r="I2" s="2" t="inlineStr">
        <is>
          <t>완료</t>
        </is>
      </c>
    </row>
    <row r="3">
      <c r="A3" s="2" t="inlineStr">
        <is>
          <t>2026-08-10</t>
        </is>
      </c>
      <c r="B3" s="3" t="n">
        <v>581820</v>
      </c>
      <c r="C3" s="12">
        <f>'B_새기준'!E5</f>
        <v/>
      </c>
      <c r="D3" s="12">
        <f>B3-C3</f>
        <v/>
      </c>
      <c r="E3" s="12">
        <f>'B_새기준'!K5</f>
        <v>109120</v>
      </c>
      <c r="F3" s="12">
        <f>D3+E3</f>
        <v>577340</v>
      </c>
      <c r="G3" s="12">
        <f>F3-B3</f>
        <v>-4480</v>
      </c>
      <c r="H3" s="18">
        <f>G3/B3</f>
        <v>-0.007699975937575195</v>
      </c>
      <c r="I3" s="2" t="inlineStr">
        <is>
          <t>완료</t>
        </is>
      </c>
    </row>
    <row r="4">
      <c r="A4" s="2" t="inlineStr">
        <is>
          <t>2026-08-11</t>
        </is>
      </c>
      <c r="B4" s="3" t="n">
        <v>577340</v>
      </c>
      <c r="C4" s="12" t="n">
        <v>0</v>
      </c>
      <c r="D4" s="12" t="n">
        <v>577340</v>
      </c>
      <c r="E4" s="12" t="n">
        <v>0</v>
      </c>
      <c r="F4" s="12" t="n">
        <v>577340</v>
      </c>
      <c r="G4" s="12" t="n">
        <v>0</v>
      </c>
      <c r="H4" s="18" t="n">
        <v>0</v>
      </c>
      <c r="I4" s="2" t="inlineStr">
        <is>
          <t>NO_TRADE / 매수금액 0원</t>
        </is>
      </c>
    </row>
  </sheetData>
  <autoFilter ref="A1:I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3" customWidth="1" min="3" max="3"/>
    <col width="14" customWidth="1" min="4" max="4"/>
    <col width="12" customWidth="1" min="5" max="5"/>
    <col width="14" customWidth="1" min="6" max="6"/>
    <col width="12" customWidth="1" min="7" max="7"/>
    <col width="16" customWidth="1" min="8" max="8"/>
    <col width="14" customWidth="1" min="9" max="9"/>
    <col width="18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>
      <c r="A1" s="19" t="inlineStr">
        <is>
          <t>회차</t>
        </is>
      </c>
      <c r="B1" s="19" t="inlineStr">
        <is>
          <t>매수일</t>
        </is>
      </c>
      <c r="C1" s="19" t="inlineStr">
        <is>
          <t>매도일</t>
        </is>
      </c>
      <c r="D1" s="19" t="inlineStr">
        <is>
          <t>A 손익(원)</t>
        </is>
      </c>
      <c r="E1" s="19" t="inlineStr">
        <is>
          <t>A 수익률</t>
        </is>
      </c>
      <c r="F1" s="19" t="inlineStr">
        <is>
          <t>B 손익(원)</t>
        </is>
      </c>
      <c r="G1" s="19" t="inlineStr">
        <is>
          <t>B 수익률</t>
        </is>
      </c>
      <c r="H1" s="19" t="inlineStr">
        <is>
          <t>B-A 손익차(원)</t>
        </is>
      </c>
      <c r="I1" s="19" t="inlineStr">
        <is>
          <t>B-A 수익률차</t>
        </is>
      </c>
      <c r="J1" s="19" t="inlineStr">
        <is>
          <t>판정</t>
        </is>
      </c>
      <c r="K1" s="19" t="inlineStr">
        <is>
          <t>A 종목</t>
        </is>
      </c>
      <c r="L1" s="19" t="inlineStr">
        <is>
          <t>A 매수가</t>
        </is>
      </c>
      <c r="M1" s="19" t="inlineStr">
        <is>
          <t>A 수량</t>
        </is>
      </c>
      <c r="N1" s="19" t="inlineStr">
        <is>
          <t>A 매수금액</t>
        </is>
      </c>
      <c r="O1" s="19" t="inlineStr">
        <is>
          <t>A 실제비중</t>
        </is>
      </c>
      <c r="P1" s="19" t="inlineStr">
        <is>
          <t>B 종목</t>
        </is>
      </c>
      <c r="Q1" s="19" t="inlineStr">
        <is>
          <t>B 매수가</t>
        </is>
      </c>
      <c r="R1" s="19" t="inlineStr">
        <is>
          <t>B 수량</t>
        </is>
      </c>
      <c r="S1" s="19" t="inlineStr">
        <is>
          <t>B 매수금액</t>
        </is>
      </c>
      <c r="T1" s="19" t="inlineStr">
        <is>
          <t>B 실제비중</t>
        </is>
      </c>
    </row>
    <row r="2">
      <c r="A2" s="2" t="n">
        <v>2</v>
      </c>
      <c r="B2" s="2" t="inlineStr">
        <is>
          <t>2026-08-07</t>
        </is>
      </c>
      <c r="C2" s="2" t="inlineStr">
        <is>
          <t>2026-08-10</t>
        </is>
      </c>
      <c r="D2" s="5" t="n">
        <v>-12160</v>
      </c>
      <c r="E2" s="17" t="n">
        <v>-0.02059062584665402</v>
      </c>
      <c r="F2" s="5" t="n">
        <v>-8740</v>
      </c>
      <c r="G2" s="17" t="n">
        <v>-0.01479951232728258</v>
      </c>
      <c r="H2" s="5">
        <f>F2-D2</f>
        <v/>
      </c>
      <c r="I2" s="17">
        <f>G2-E2</f>
        <v/>
      </c>
      <c r="J2" s="11" t="inlineStr">
        <is>
          <t>B 우세</t>
        </is>
      </c>
    </row>
    <row r="3">
      <c r="A3" s="2" t="n">
        <v>3</v>
      </c>
      <c r="B3" s="2" t="inlineStr">
        <is>
          <t>2026-08-10</t>
        </is>
      </c>
      <c r="C3" s="2" t="inlineStr">
        <is>
          <t>2026-08-11</t>
        </is>
      </c>
      <c r="D3" s="7" t="n">
        <v>17920</v>
      </c>
      <c r="E3" s="9" t="n">
        <v>0.030982019363762103</v>
      </c>
      <c r="F3" s="7" t="n">
        <v>-4480</v>
      </c>
      <c r="G3" s="9" t="n">
        <v>-0.007699975937575195</v>
      </c>
      <c r="H3" s="7">
        <f>F3-D3</f>
        <v>-22400</v>
      </c>
      <c r="I3" s="9">
        <f>G3-E3</f>
        <v>-0.0386819953013373</v>
      </c>
      <c r="J3" s="2" t="inlineStr">
        <is>
          <t>A 우세</t>
        </is>
      </c>
      <c r="K3" t="inlineStr">
        <is>
          <t>씨이랩</t>
        </is>
      </c>
      <c r="L3" s="20" t="n">
        <v>13810</v>
      </c>
      <c r="M3" t="n">
        <v>8</v>
      </c>
      <c r="N3" s="20" t="n">
        <v>110480</v>
      </c>
      <c r="O3" s="21" t="n">
        <v>0.1910096818810512</v>
      </c>
      <c r="P3" t="inlineStr">
        <is>
          <t>아이크래프트</t>
        </is>
      </c>
      <c r="Q3" s="20" t="n">
        <v>7100</v>
      </c>
      <c r="R3" t="n">
        <v>16</v>
      </c>
      <c r="S3" s="20" t="n">
        <v>113600</v>
      </c>
      <c r="T3" s="21" t="n">
        <v>0.1952493898456567</v>
      </c>
    </row>
    <row r="4">
      <c r="A4" s="2" t="n">
        <v>4</v>
      </c>
      <c r="B4" s="2" t="inlineStr">
        <is>
          <t>2026-08-11</t>
        </is>
      </c>
      <c r="C4" s="2" t="inlineStr">
        <is>
          <t>거래 없음</t>
        </is>
      </c>
      <c r="D4" s="7" t="n">
        <v>0</v>
      </c>
      <c r="E4" s="9" t="n">
        <v>0</v>
      </c>
      <c r="F4" s="7" t="n">
        <v>0</v>
      </c>
      <c r="G4" s="9" t="n">
        <v>0</v>
      </c>
      <c r="H4" s="7" t="n">
        <v>0</v>
      </c>
      <c r="I4" s="9" t="n">
        <v>0</v>
      </c>
      <c r="J4" s="2" t="inlineStr">
        <is>
          <t>A/B 모두 NO_TRADE</t>
        </is>
      </c>
      <c r="K4" t="inlineStr">
        <is>
          <t>NO_TRADE</t>
        </is>
      </c>
      <c r="L4" s="20" t="n">
        <v>0</v>
      </c>
      <c r="M4" t="n">
        <v>0</v>
      </c>
      <c r="N4" s="20" t="n">
        <v>0</v>
      </c>
      <c r="O4" s="21" t="n">
        <v>0</v>
      </c>
      <c r="P4" t="inlineStr">
        <is>
          <t>NO_TRADE</t>
        </is>
      </c>
      <c r="Q4" s="20" t="n">
        <v>0</v>
      </c>
      <c r="R4" t="n">
        <v>0</v>
      </c>
      <c r="S4" s="20" t="n">
        <v>0</v>
      </c>
      <c r="T4" s="21" t="n">
        <v>0</v>
      </c>
    </row>
  </sheetData>
  <autoFilter ref="A1:T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s="2" t="inlineStr">
        <is>
          <t>A 기준</t>
        </is>
      </c>
      <c r="B2" s="2" t="inlineStr">
        <is>
          <t>거래량·거래대금 + 수급 + 차트 + 종가 강도 + 과열 + 테마 분산</t>
        </is>
      </c>
    </row>
    <row r="3">
      <c r="A3" s="2" t="inlineStr">
        <is>
          <t>B 기준</t>
        </is>
      </c>
      <c r="B3" s="2" t="inlineStr">
        <is>
          <t>A 기준 + 동종업종 대비 PER/PBR + ROE + 최근 실적 + 재무 리스크</t>
        </is>
      </c>
    </row>
    <row r="4">
      <c r="A4" s="2" t="inlineStr">
        <is>
          <t>매수</t>
        </is>
      </c>
      <c r="B4" s="2" t="inlineStr">
        <is>
          <t>15:25 최종 선정 → 15:30 KRX 종가를 모의 매수가로 기록</t>
        </is>
      </c>
    </row>
    <row r="5">
      <c r="A5" s="2" t="inlineStr">
        <is>
          <t>매도</t>
        </is>
      </c>
      <c r="B5" s="2" t="inlineStr">
        <is>
          <t>다음 거래일 09:30 전후 동일 시점 현재가로 모의 매도</t>
        </is>
      </c>
    </row>
    <row r="6">
      <c r="A6" s="2" t="inlineStr">
        <is>
          <t>비중</t>
        </is>
      </c>
      <c r="B6" s="2" t="inlineStr">
        <is>
          <t>1종목 테스트 시 권장 비중 20~25%, 나머지 75~80% 현금</t>
        </is>
      </c>
    </row>
    <row r="7">
      <c r="A7" s="2" t="inlineStr">
        <is>
          <t>원칙</t>
        </is>
      </c>
      <c r="B7" s="2" t="inlineStr">
        <is>
          <t>데이터 불완전 시 거래하지 않고, 동일·고상관 테마 중복 금지</t>
        </is>
      </c>
    </row>
    <row r="8">
      <c r="A8" s="2" t="inlineStr">
        <is>
          <t>현재 상태</t>
        </is>
      </c>
      <c r="B8" s="2" t="inlineStr">
        <is>
          <t>2026-08-11 09:30 정산: A=씨이랩 16,050원 매도, 자산 596,320원 / B=아이크래프트 6,820원 매도, 자산 577,340원. 2026-08-11 A/B 모두 NO_TRADE, 매수금액 0원.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2026-08-10T06:42:02Z</dcterms:created>
  <dcterms:modified xmlns:dcterms="http://purl.org/dc/terms/" xmlns:xsi="http://www.w3.org/2001/XMLSchema-instance" xsi:type="dcterms:W3CDTF">2026-08-10T06:46:46Z</dcterms:modified>
</cp:coreProperties>
</file>