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ocs\투자 내역\"/>
    </mc:Choice>
  </mc:AlternateContent>
  <xr:revisionPtr revIDLastSave="0" documentId="13_ncr:1_{234D0ACA-91D1-4CA4-970A-85E94422C9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투자내역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P12" i="1"/>
  <c r="L12" i="1"/>
  <c r="N12" i="1" s="1"/>
  <c r="O12" i="1" s="1"/>
  <c r="I12" i="1"/>
  <c r="Q11" i="1"/>
  <c r="P11" i="1"/>
  <c r="L11" i="1"/>
  <c r="N11" i="1" s="1"/>
  <c r="O11" i="1" s="1"/>
  <c r="I11" i="1"/>
  <c r="Q10" i="1"/>
  <c r="P10" i="1"/>
  <c r="L10" i="1"/>
  <c r="N10" i="1" s="1"/>
  <c r="O10" i="1" s="1"/>
  <c r="I10" i="1"/>
  <c r="Q9" i="1"/>
  <c r="P9" i="1"/>
  <c r="L9" i="1"/>
  <c r="N9" i="1" s="1"/>
  <c r="O9" i="1" s="1"/>
  <c r="I9" i="1"/>
  <c r="Q8" i="1"/>
  <c r="P8" i="1"/>
  <c r="L8" i="1"/>
  <c r="N8" i="1" s="1"/>
  <c r="O8" i="1" s="1"/>
  <c r="I8" i="1"/>
  <c r="Q7" i="1"/>
  <c r="P7" i="1"/>
  <c r="L7" i="1"/>
  <c r="N7" i="1" s="1"/>
  <c r="O7" i="1" s="1"/>
  <c r="I7" i="1"/>
  <c r="Q6" i="1"/>
  <c r="P6" i="1"/>
  <c r="L6" i="1"/>
  <c r="N6" i="1" s="1"/>
  <c r="O6" i="1" s="1"/>
  <c r="I6" i="1"/>
  <c r="Q5" i="1"/>
  <c r="P5" i="1"/>
  <c r="L5" i="1"/>
  <c r="N5" i="1" s="1"/>
  <c r="O5" i="1" s="1"/>
  <c r="I5" i="1"/>
  <c r="Q4" i="1"/>
  <c r="P4" i="1"/>
  <c r="L4" i="1"/>
  <c r="N4" i="1" s="1"/>
  <c r="O4" i="1" s="1"/>
  <c r="I4" i="1"/>
  <c r="Q3" i="1"/>
  <c r="P3" i="1"/>
  <c r="L3" i="1"/>
  <c r="N3" i="1" s="1"/>
  <c r="O3" i="1" s="1"/>
  <c r="I3" i="1"/>
  <c r="Q2" i="1"/>
  <c r="P2" i="1"/>
  <c r="L2" i="1"/>
  <c r="N2" i="1" s="1"/>
  <c r="O2" i="1" s="1"/>
  <c r="I2" i="1"/>
</calcChain>
</file>

<file path=xl/sharedStrings.xml><?xml version="1.0" encoding="utf-8"?>
<sst xmlns="http://schemas.openxmlformats.org/spreadsheetml/2006/main" count="67" uniqueCount="60">
  <si>
    <t>매수일</t>
  </si>
  <si>
    <t>매수시간</t>
  </si>
  <si>
    <t>매도일</t>
  </si>
  <si>
    <t>매도시간</t>
  </si>
  <si>
    <t>종목명</t>
  </si>
  <si>
    <t>종목코드</t>
  </si>
  <si>
    <t>매수단가</t>
  </si>
  <si>
    <t>매수수량</t>
  </si>
  <si>
    <t>총매입금액</t>
  </si>
  <si>
    <t>매도단가</t>
  </si>
  <si>
    <t>매도수량</t>
  </si>
  <si>
    <t>총매도금액</t>
  </si>
  <si>
    <t>수수료·세금</t>
  </si>
  <si>
    <t>실현손익</t>
  </si>
  <si>
    <t>수익률</t>
  </si>
  <si>
    <t>잔여수량</t>
  </si>
  <si>
    <t>보유시간</t>
  </si>
  <si>
    <t>손절가</t>
  </si>
  <si>
    <t>1차목표가</t>
  </si>
  <si>
    <t>2차목표가</t>
  </si>
  <si>
    <t>상태</t>
  </si>
  <si>
    <t>메모</t>
  </si>
  <si>
    <t>남화토건</t>
  </si>
  <si>
    <t>091590</t>
  </si>
  <si>
    <t>보유/매도 주문 대기</t>
  </si>
  <si>
    <t>매수시간 미제공; 7,370원 상한가 전량 매도 주문, 체결 전</t>
  </si>
  <si>
    <t>대덕전자</t>
  </si>
  <si>
    <t>353200</t>
  </si>
  <si>
    <t>전량 매도</t>
  </si>
  <si>
    <t>매수·매도시간 미제공; 2026-08-12 사용자 매도 보고; 매수·매도단가 동일; 수수료·세금 미확정</t>
  </si>
  <si>
    <t>미래에셋생명</t>
  </si>
  <si>
    <t>085620</t>
  </si>
  <si>
    <t>보유</t>
  </si>
  <si>
    <t>매수시간 미제공; 2026-08-12 14:23:18 실시간 시세 확인; 주의선 18,700원; 하드 손절 18,300원</t>
  </si>
  <si>
    <t>한화생명</t>
  </si>
  <si>
    <t>088350</t>
  </si>
  <si>
    <t>매수시간 미제공; 2026-08-14 11:31 사용자 체결 보고; 총매입금액 271,500원</t>
  </si>
  <si>
    <t>한화솔루션</t>
  </si>
  <si>
    <t>009830</t>
  </si>
  <si>
    <t>매수시간 미제공; 2026-08-14 15:09 사용자 체결 보고; 총매입금액 284,000원</t>
  </si>
  <si>
    <t>성호전자</t>
  </si>
  <si>
    <t>043260</t>
  </si>
  <si>
    <t>매수시간 미제공; 2026-08-18 사용자 체결 확인; 총매입금액 439,000원; 14:39 확인가 21,550원</t>
  </si>
  <si>
    <t>금호건설</t>
  </si>
  <si>
    <t>002990</t>
  </si>
  <si>
    <t>매수시간 미제공; 2026-08-18 15:16 사용자 체결 보고; 총매입금액 138,800원</t>
  </si>
  <si>
    <t>맥쿼리인프라</t>
  </si>
  <si>
    <t>088980</t>
  </si>
  <si>
    <t>장기 보유</t>
  </si>
  <si>
    <t>매수시간 미제공; 2026-08-25 11:09 사용자 체결 보고; 배당·인컴 장기 보유; 10,500원 매도 목표; 2026-08-28 지급 분배금은 2026-06-29 배당락 이후 매수로 대상 아님</t>
  </si>
  <si>
    <t>자이에스앤디</t>
  </si>
  <si>
    <t>317400</t>
  </si>
  <si>
    <t>매수시간 미제공; 2026-08-26 사용자 체결 보고; 총매입금액 87,600원</t>
  </si>
  <si>
    <t>13:39</t>
  </si>
  <si>
    <t>제우스</t>
  </si>
  <si>
    <t>079370</t>
  </si>
  <si>
    <t>2026-09-29 13:39 매수 13,160원 15주; 2026-09-29 사용자 전량 매도 보고, 매도가 13,300원; 매도시간 미제공; 총매도금액 199,500원; 비용 차감 전 손익 +2,100원; 수수료·세금 미확정</t>
  </si>
  <si>
    <t>삼성중공업</t>
  </si>
  <si>
    <t>010140</t>
  </si>
  <si>
    <t>2026-09-29 매수 19,410원 11주; 2026-09-30 사용자 전량 매도 보고, 매도가 19,650원; 매수·매도시간 미제공; 총매도금액 216,150원; 비용 차감 전 손익 +2,640원(+1.24%); 수수료·세금 미확정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</si>
</sst>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[h]&quot;시간 &quot;mm&quot;분&quot;"/>
  </numFmts>
  <fonts count="3" x14ac:knownFonts="1">
    <font>
      <sz val="11"/>
      <name val="맑은 고딕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pane ySplit="1" topLeftCell="A2" activePane="bottomLeft" state="frozen"/>
      <selection pane="bottomLeft" activeCell="A13" sqref="A13:XFD13"/>
    </sheetView>
  </sheetViews>
  <sheetFormatPr defaultRowHeight="17" x14ac:dyDescent="0.45"/>
  <cols>
    <col min="1" max="1" width="12" customWidth="1"/>
    <col min="2" max="2" width="1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1" customWidth="1"/>
    <col min="9" max="9" width="15" customWidth="1"/>
    <col min="10" max="10" width="13" customWidth="1"/>
    <col min="11" max="11" width="11" customWidth="1"/>
    <col min="12" max="12" width="15" customWidth="1"/>
    <col min="13" max="13" width="13" customWidth="1"/>
    <col min="14" max="14" width="14" customWidth="1"/>
    <col min="15" max="16" width="11" customWidth="1"/>
    <col min="17" max="20" width="13" customWidth="1"/>
    <col min="21" max="21" width="20" customWidth="1"/>
    <col min="22" max="22" width="48" customWidth="1"/>
  </cols>
  <sheetData>
    <row r="1" spans="1:22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6">
        <v>46246</v>
      </c>
      <c r="E2" t="s">
        <v>22</v>
      </c>
      <c r="F2" t="s">
        <v>23</v>
      </c>
      <c r="G2" s="3">
        <v>6820</v>
      </c>
      <c r="H2" s="2">
        <v>15</v>
      </c>
      <c r="I2" s="3">
        <f t="shared" ref="I2:I12" si="0">IF(OR(G2="",H2=""),"",G2*H2)</f>
        <v>102300</v>
      </c>
      <c r="L2" s="3" t="str">
        <f t="shared" ref="L2:L12" si="1">IF(OR(J2="",K2=""),"",J2*K2)</f>
        <v/>
      </c>
      <c r="N2" s="3" t="str">
        <f t="shared" ref="N2:N12" si="2">IF(OR(L2="",K2=""),"",L2-(G2*K2)-IF(M2="",0,M2))</f>
        <v/>
      </c>
      <c r="O2" s="4" t="str">
        <f t="shared" ref="O2:O12" si="3">IF(OR(N2="",G2="",K2=""),"",N2/(G2*K2))</f>
        <v/>
      </c>
      <c r="P2" s="2">
        <f t="shared" ref="P2:P12" si="4">IF(H2="","",H2-IF(K2="",0,K2))</f>
        <v>15</v>
      </c>
      <c r="Q2" s="5" t="str">
        <f>IF(OR(A2="",C2=""),"",(C2+IF(D2="",0,D2))-(A2+IF(B2="",0,B2)))</f>
        <v/>
      </c>
      <c r="S2" s="3">
        <v>7370</v>
      </c>
      <c r="U2" t="s">
        <v>24</v>
      </c>
      <c r="V2" t="s">
        <v>25</v>
      </c>
    </row>
    <row r="3" spans="1:22" x14ac:dyDescent="0.45">
      <c r="A3" s="6">
        <v>46246</v>
      </c>
      <c r="C3" s="6">
        <v>46246</v>
      </c>
      <c r="E3" t="s">
        <v>26</v>
      </c>
      <c r="F3" t="s">
        <v>27</v>
      </c>
      <c r="G3" s="3">
        <v>107700</v>
      </c>
      <c r="H3" s="2">
        <v>5</v>
      </c>
      <c r="I3" s="3">
        <f t="shared" si="0"/>
        <v>538500</v>
      </c>
      <c r="J3" s="3">
        <v>107700</v>
      </c>
      <c r="K3" s="2">
        <v>5</v>
      </c>
      <c r="L3" s="3">
        <f t="shared" si="1"/>
        <v>538500</v>
      </c>
      <c r="N3" s="3">
        <f t="shared" si="2"/>
        <v>0</v>
      </c>
      <c r="O3" s="4">
        <f t="shared" si="3"/>
        <v>0</v>
      </c>
      <c r="P3" s="2">
        <f t="shared" si="4"/>
        <v>0</v>
      </c>
      <c r="Q3" s="5" t="str">
        <f t="shared" ref="Q3:Q12" si="5">IF(OR(A3="",B3="",C3="",D3=""),"",(C3+D3)-(A3+B3))</f>
        <v/>
      </c>
      <c r="R3" s="3">
        <v>106000</v>
      </c>
      <c r="S3" s="3">
        <v>113000</v>
      </c>
      <c r="T3" s="3">
        <v>119000</v>
      </c>
      <c r="U3" t="s">
        <v>28</v>
      </c>
      <c r="V3" t="s">
        <v>29</v>
      </c>
    </row>
    <row r="4" spans="1:22" x14ac:dyDescent="0.45">
      <c r="A4" s="6">
        <v>46246</v>
      </c>
      <c r="E4" t="s">
        <v>30</v>
      </c>
      <c r="F4" t="s">
        <v>31</v>
      </c>
      <c r="G4" s="3">
        <v>19210</v>
      </c>
      <c r="H4" s="2">
        <v>10</v>
      </c>
      <c r="I4" s="3">
        <f t="shared" si="0"/>
        <v>192100</v>
      </c>
      <c r="L4" s="3" t="str">
        <f t="shared" si="1"/>
        <v/>
      </c>
      <c r="N4" s="3" t="str">
        <f t="shared" si="2"/>
        <v/>
      </c>
      <c r="O4" s="4" t="str">
        <f t="shared" si="3"/>
        <v/>
      </c>
      <c r="P4" s="2">
        <f t="shared" si="4"/>
        <v>10</v>
      </c>
      <c r="Q4" s="5" t="str">
        <f t="shared" si="5"/>
        <v/>
      </c>
      <c r="R4" s="3">
        <v>18300</v>
      </c>
      <c r="U4" t="s">
        <v>32</v>
      </c>
      <c r="V4" t="s">
        <v>33</v>
      </c>
    </row>
    <row r="5" spans="1:22" x14ac:dyDescent="0.45">
      <c r="A5" s="6">
        <v>46248</v>
      </c>
      <c r="E5" t="s">
        <v>34</v>
      </c>
      <c r="F5" t="s">
        <v>35</v>
      </c>
      <c r="G5" s="3">
        <v>5430</v>
      </c>
      <c r="H5" s="2">
        <v>50</v>
      </c>
      <c r="I5" s="3">
        <f t="shared" si="0"/>
        <v>271500</v>
      </c>
      <c r="L5" s="3" t="str">
        <f t="shared" si="1"/>
        <v/>
      </c>
      <c r="N5" s="3" t="str">
        <f t="shared" si="2"/>
        <v/>
      </c>
      <c r="O5" s="4" t="str">
        <f t="shared" si="3"/>
        <v/>
      </c>
      <c r="P5" s="2">
        <f t="shared" si="4"/>
        <v>50</v>
      </c>
      <c r="Q5" s="5" t="str">
        <f t="shared" si="5"/>
        <v/>
      </c>
      <c r="R5" s="3">
        <v>5370</v>
      </c>
      <c r="S5" s="3">
        <v>5500</v>
      </c>
      <c r="T5" s="3">
        <v>5600</v>
      </c>
      <c r="U5" t="s">
        <v>32</v>
      </c>
      <c r="V5" t="s">
        <v>36</v>
      </c>
    </row>
    <row r="6" spans="1:22" x14ac:dyDescent="0.45">
      <c r="A6" s="6">
        <v>46248</v>
      </c>
      <c r="E6" t="s">
        <v>37</v>
      </c>
      <c r="F6" t="s">
        <v>38</v>
      </c>
      <c r="G6" s="3">
        <v>35500</v>
      </c>
      <c r="H6" s="2">
        <v>8</v>
      </c>
      <c r="I6" s="3">
        <f t="shared" si="0"/>
        <v>284000</v>
      </c>
      <c r="L6" s="3" t="str">
        <f t="shared" si="1"/>
        <v/>
      </c>
      <c r="N6" s="3" t="str">
        <f t="shared" si="2"/>
        <v/>
      </c>
      <c r="O6" s="4" t="str">
        <f t="shared" si="3"/>
        <v/>
      </c>
      <c r="P6" s="2">
        <f t="shared" si="4"/>
        <v>8</v>
      </c>
      <c r="Q6" s="5" t="str">
        <f t="shared" si="5"/>
        <v/>
      </c>
      <c r="R6" s="3">
        <v>35100</v>
      </c>
      <c r="S6" s="3">
        <v>36100</v>
      </c>
      <c r="T6" s="3">
        <v>36700</v>
      </c>
      <c r="U6" t="s">
        <v>32</v>
      </c>
      <c r="V6" t="s">
        <v>39</v>
      </c>
    </row>
    <row r="7" spans="1:22" x14ac:dyDescent="0.45">
      <c r="A7" s="6">
        <v>46252</v>
      </c>
      <c r="E7" t="s">
        <v>40</v>
      </c>
      <c r="F7" t="s">
        <v>41</v>
      </c>
      <c r="G7" s="3">
        <v>21950</v>
      </c>
      <c r="H7" s="2">
        <v>20</v>
      </c>
      <c r="I7" s="3">
        <f t="shared" si="0"/>
        <v>439000</v>
      </c>
      <c r="L7" s="3" t="str">
        <f t="shared" si="1"/>
        <v/>
      </c>
      <c r="N7" s="3" t="str">
        <f t="shared" si="2"/>
        <v/>
      </c>
      <c r="O7" s="4" t="str">
        <f t="shared" si="3"/>
        <v/>
      </c>
      <c r="P7" s="2">
        <f t="shared" si="4"/>
        <v>20</v>
      </c>
      <c r="Q7" s="5" t="str">
        <f t="shared" si="5"/>
        <v/>
      </c>
      <c r="R7" s="3">
        <v>21700</v>
      </c>
      <c r="S7" s="3">
        <v>22400</v>
      </c>
      <c r="T7" s="3">
        <v>25000</v>
      </c>
      <c r="U7" t="s">
        <v>32</v>
      </c>
      <c r="V7" t="s">
        <v>42</v>
      </c>
    </row>
    <row r="8" spans="1:22" x14ac:dyDescent="0.45">
      <c r="A8" s="6">
        <v>46252</v>
      </c>
      <c r="E8" t="s">
        <v>43</v>
      </c>
      <c r="F8" t="s">
        <v>44</v>
      </c>
      <c r="G8" s="3">
        <v>13880</v>
      </c>
      <c r="H8" s="2">
        <v>10</v>
      </c>
      <c r="I8" s="3">
        <f t="shared" si="0"/>
        <v>138800</v>
      </c>
      <c r="L8" s="3" t="str">
        <f t="shared" si="1"/>
        <v/>
      </c>
      <c r="N8" s="3" t="str">
        <f t="shared" si="2"/>
        <v/>
      </c>
      <c r="O8" s="4" t="str">
        <f t="shared" si="3"/>
        <v/>
      </c>
      <c r="P8" s="2">
        <f t="shared" si="4"/>
        <v>10</v>
      </c>
      <c r="Q8" s="5" t="str">
        <f t="shared" si="5"/>
        <v/>
      </c>
      <c r="R8" s="3">
        <v>13500</v>
      </c>
      <c r="S8" s="3">
        <v>14300</v>
      </c>
      <c r="T8" s="3">
        <v>14700</v>
      </c>
      <c r="U8" t="s">
        <v>32</v>
      </c>
      <c r="V8" t="s">
        <v>45</v>
      </c>
    </row>
    <row r="9" spans="1:22" x14ac:dyDescent="0.45">
      <c r="A9" s="6">
        <v>46259</v>
      </c>
      <c r="E9" t="s">
        <v>46</v>
      </c>
      <c r="F9" t="s">
        <v>47</v>
      </c>
      <c r="G9" s="3">
        <v>9780</v>
      </c>
      <c r="H9" s="2">
        <v>40</v>
      </c>
      <c r="I9" s="3">
        <f t="shared" si="0"/>
        <v>391200</v>
      </c>
      <c r="L9" s="3" t="str">
        <f t="shared" si="1"/>
        <v/>
      </c>
      <c r="N9" s="3" t="str">
        <f t="shared" si="2"/>
        <v/>
      </c>
      <c r="O9" s="4" t="str">
        <f t="shared" si="3"/>
        <v/>
      </c>
      <c r="P9" s="2">
        <f t="shared" si="4"/>
        <v>40</v>
      </c>
      <c r="Q9" s="5" t="str">
        <f t="shared" si="5"/>
        <v/>
      </c>
      <c r="S9" s="3">
        <v>10500</v>
      </c>
      <c r="U9" t="s">
        <v>48</v>
      </c>
      <c r="V9" t="s">
        <v>49</v>
      </c>
    </row>
    <row r="10" spans="1:22" x14ac:dyDescent="0.45">
      <c r="A10" s="6">
        <v>46260</v>
      </c>
      <c r="E10" t="s">
        <v>50</v>
      </c>
      <c r="F10" t="s">
        <v>51</v>
      </c>
      <c r="G10" s="3">
        <v>10950</v>
      </c>
      <c r="H10" s="2">
        <v>8</v>
      </c>
      <c r="I10" s="3">
        <f t="shared" si="0"/>
        <v>87600</v>
      </c>
      <c r="L10" s="3" t="str">
        <f t="shared" si="1"/>
        <v/>
      </c>
      <c r="N10" s="3" t="str">
        <f t="shared" si="2"/>
        <v/>
      </c>
      <c r="O10" s="4" t="str">
        <f t="shared" si="3"/>
        <v/>
      </c>
      <c r="P10" s="2">
        <f t="shared" si="4"/>
        <v>8</v>
      </c>
      <c r="Q10" s="5" t="str">
        <f t="shared" si="5"/>
        <v/>
      </c>
      <c r="R10">
        <v>10760</v>
      </c>
      <c r="S10" s="3">
        <v>11080</v>
      </c>
      <c r="T10">
        <v>11250</v>
      </c>
      <c r="U10" t="s">
        <v>32</v>
      </c>
      <c r="V10" t="s">
        <v>52</v>
      </c>
    </row>
    <row r="11" spans="1:22" x14ac:dyDescent="0.45">
      <c r="A11" s="6">
        <v>46294</v>
      </c>
      <c r="B11" t="s">
        <v>53</v>
      </c>
      <c r="C11" s="6">
        <v>46294</v>
      </c>
      <c r="E11" t="s">
        <v>54</v>
      </c>
      <c r="F11" t="s">
        <v>55</v>
      </c>
      <c r="G11" s="3">
        <v>13160</v>
      </c>
      <c r="H11" s="2">
        <v>15</v>
      </c>
      <c r="I11" s="3">
        <f t="shared" si="0"/>
        <v>197400</v>
      </c>
      <c r="J11" s="3">
        <v>13300</v>
      </c>
      <c r="K11" s="2">
        <v>15</v>
      </c>
      <c r="L11" s="3">
        <f t="shared" si="1"/>
        <v>199500</v>
      </c>
      <c r="N11" s="3">
        <f t="shared" si="2"/>
        <v>2100</v>
      </c>
      <c r="O11" s="4">
        <f t="shared" si="3"/>
        <v>1.0638297872340425E-2</v>
      </c>
      <c r="P11" s="2">
        <f t="shared" si="4"/>
        <v>0</v>
      </c>
      <c r="Q11" s="5" t="str">
        <f t="shared" si="5"/>
        <v/>
      </c>
      <c r="R11" s="3">
        <v>12950</v>
      </c>
      <c r="S11" s="3">
        <v>13400</v>
      </c>
      <c r="T11" s="3">
        <v>13650</v>
      </c>
      <c r="U11" t="s">
        <v>28</v>
      </c>
      <c r="V11" t="s">
        <v>56</v>
      </c>
    </row>
    <row r="12" spans="1:22" x14ac:dyDescent="0.45">
      <c r="A12" s="6">
        <v>46294</v>
      </c>
      <c r="C12" s="6">
        <v>46295</v>
      </c>
      <c r="E12" t="s">
        <v>57</v>
      </c>
      <c r="F12" t="s">
        <v>58</v>
      </c>
      <c r="G12" s="3">
        <v>19410</v>
      </c>
      <c r="H12" s="2">
        <v>11</v>
      </c>
      <c r="I12" s="3">
        <f t="shared" si="0"/>
        <v>213510</v>
      </c>
      <c r="J12" s="3">
        <v>19650</v>
      </c>
      <c r="K12" s="2">
        <v>11</v>
      </c>
      <c r="L12" s="3">
        <f t="shared" si="1"/>
        <v>216150</v>
      </c>
      <c r="N12" s="3">
        <f t="shared" si="2"/>
        <v>2640</v>
      </c>
      <c r="O12" s="4">
        <f t="shared" si="3"/>
        <v>1.2364760432766615E-2</v>
      </c>
      <c r="P12" s="2">
        <f t="shared" si="4"/>
        <v>0</v>
      </c>
      <c r="Q12" s="5" t="str">
        <f t="shared" si="5"/>
        <v/>
      </c>
      <c r="R12" s="3">
        <v>18800</v>
      </c>
      <c r="S12" s="3">
        <v>20500</v>
      </c>
      <c r="T12" s="3">
        <v>21500</v>
      </c>
      <c r="U12" t="s">
        <v>28</v>
      </c>
      <c r="V12" t="s">
        <v>59</v>
      </c>
    </row>
    <row r="13" spans="1:22" x14ac:dyDescent="0.45">
      <c r="A13" s="6">
        <v>46296</v>
      </c>
      <c r="C13" s="6">
        <v>46297</v>
      </c>
      <c r="E13" t="inlineStr">
        <is>
          <t>한온시스템</t>
        </is>
      </c>
      <c r="F13" t="inlineStr">
        <is>
          <t>018880</t>
        </is>
      </c>
      <c r="G13" s="3">
        <v>3680</v>
      </c>
      <c r="H13" s="2">
        <v>32</v>
      </c>
      <c r="I13" s="3">
        <f>IF(OR(G13="",H13=""),"",G13*H13)</f>
        <v>117760</v>
      </c>
      <c r="J13" s="3">
        <v>3720</v>
      </c>
      <c r="K13" s="2">
        <v>32</v>
      </c>
      <c r="L13" s="3">
        <f>IF(OR(J13="",K13=""),"",J13*K13)</f>
        <v>119040</v>
      </c>
      <c r="N13" s="3">
        <f>IF(OR(L13="",K13=""),"",L13-(G13*K13)-IF(M13="",0,M13))</f>
        <v>1280</v>
      </c>
      <c r="O13" s="4">
        <f>IF(OR(N13="",G13="",K13=""),"",N13/(G13*K13))</f>
        <v>0.010869565217391304</v>
      </c>
      <c r="P13" s="2">
        <f>IF(H13="","",H13-IF(K13="",0,K13))</f>
        <v>0</v>
      </c>
      <c r="Q13" s="5" t="str">
        <f>IF(OR(A13="",B13="",C13="",D13=""),"",(C13+D13)-(A13+B13))</f>
        <v/>
      </c>
      <c r="R13" s="3">
        <v>3630</v>
      </c>
      <c r="S13" s="3">
        <v>3730</v>
      </c>
      <c r="T13" s="3">
        <v>3800</v>
      </c>
      <c r="U13" t="inlineStr">
        <is>
          <t>전량 매도</t>
        </is>
      </c>
      <c r="V13" t="inlineStr">
        <is>
          <t>매수·매도시간 미제공; 2026-10-01 매수 3,680원 32주; 2026-10-02 09:13 사용자 전량 매도 보고, 매도가 3,720원; 총매입 117,760원; 총매도 119,040원; 비용 차감 전 이익 1,280원(+1.09%); 수수료·세금 미확정</t>
        </is>
      </c>
    </row>
    <row r="14" spans="1:22" x14ac:dyDescent="0.45">
      <c r="E14" t="inlineStr">
        <is>
          <t>삼성E&amp;A</t>
        </is>
      </c>
      <c r="F14" t="inlineStr">
        <is>
          <t>028050</t>
        </is>
      </c>
      <c r="G14" s="3">
        <v>55531</v>
      </c>
      <c r="H14" s="2">
        <v>30</v>
      </c>
      <c r="I14" s="3">
        <f>IF(OR(G14="",H14=""),"",G14*H14)</f>
        <v>1665930</v>
      </c>
      <c r="L14" s="3" t="str">
        <f>IF(OR(J14="",K14=""),"",J14*K14)</f>
        <v/>
      </c>
      <c r="N14" s="3" t="str">
        <f>IF(OR(L14="",K14=""),"",L14-(G14*K14)-IF(M14="",0,M14))</f>
        <v/>
      </c>
      <c r="O14" s="4" t="str">
        <f>IF(OR(N14="",G14="",K14=""),"",N14/(G14*K14))</f>
        <v/>
      </c>
      <c r="P14" s="2">
        <f>IF(H14="","",H14-IF(K14="",0,K14))</f>
        <v>30</v>
      </c>
      <c r="Q14" s="5" t="str">
        <f>IF(OR(A14="",B14="",C14="",D14=""),"",(C14+D14)-(A14+B14))</f>
        <v/>
      </c>
      <c r="R14" s="3">
        <v>43500</v>
      </c>
      <c r="S14" s="3">
        <v>57000</v>
      </c>
      <c r="T14" s="3">
        <v>63000</v>
      </c>
      <c r="U14" t="inlineStr">
        <is>
          <t>장기 보유</t>
        </is>
      </c>
      <c r="V14" t="inlineStr">
        <is>
          <t>기존 보유 사실을 2026-10-02 09:34 사용자 확인; 실제 매수일·시간 미제공; 매수단가 55,531원 30주; 총매입금액 1,665,930원; 09:34 KRX 확인가 47,600원; 비용 제외 평가손실 -237,930원(-14.28%); 물타기 검토는 별도 분석 기준, 실제 추가 체결 미확인; 2026-10-02 09:38 장기 전망 긍정 의사 확인, 6~12개월 장기 보유로 재분류; 목표 57,000원/63,000원</t>
        </is>
      </c>
    </row>
  </sheetData>
  <autoFilter ref="A1:V14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투자내역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채 승현</cp:lastModifiedBy>
  <dcterms:created xsi:type="dcterms:W3CDTF">2026-08-12T02:14:34Z</dcterms:created>
  <dcterms:modified xsi:type="dcterms:W3CDTF">2026-09-30T06:04:08Z</dcterms:modified>
</cp:coreProperties>
</file>